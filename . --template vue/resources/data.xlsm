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wei\Desktop\"/>
    </mc:Choice>
  </mc:AlternateContent>
  <xr:revisionPtr revIDLastSave="0" documentId="13_ncr:1_{82EB017C-ECF0-4EFD-B81B-226F80A58306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订单明细" sheetId="1" r:id="rId1"/>
    <sheet name="产品目录" sheetId="2" r:id="rId2"/>
    <sheet name="记录表" sheetId="3" r:id="rId3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C10" i="1"/>
  <c r="E8" i="1" s="1"/>
  <c r="E4" i="1" l="1"/>
  <c r="G4" i="1"/>
  <c r="N4" i="1"/>
  <c r="F4" i="1"/>
  <c r="I4" i="1" s="1"/>
  <c r="J4" i="1" l="1"/>
  <c r="R4" i="1" s="1"/>
  <c r="M4" i="1" l="1"/>
  <c r="Q4" i="1" s="1"/>
  <c r="O4" i="1" l="1"/>
  <c r="P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420" name="查询 - 表 7" description="与工作簿中“表 7”查询的连接。" type="5" refreshedVersion="2" background="1" saveData="1">
    <dbPr connection="Provider=Microsoft.Mashup.OleDb.1;Data Source=$Workbook$;Location=&quot;表 7&quot;;Extended Properties=&quot;&quot;" command="SELECT * FROM [表 7]"/>
  </connection>
</connections>
</file>

<file path=xl/sharedStrings.xml><?xml version="1.0" encoding="utf-8"?>
<sst xmlns="http://schemas.openxmlformats.org/spreadsheetml/2006/main" count="174" uniqueCount="119">
  <si>
    <t>报价公式</t>
  </si>
  <si>
    <t>基础配置</t>
  </si>
  <si>
    <t>分解维度</t>
  </si>
  <si>
    <t>每袋采购成本(分解/含税)</t>
  </si>
  <si>
    <t>采购价格(单袋)</t>
  </si>
  <si>
    <t>港杂费用</t>
  </si>
  <si>
    <t>退税率</t>
  </si>
  <si>
    <t>退税</t>
  </si>
  <si>
    <t>实际成本(单袋)</t>
  </si>
  <si>
    <t>汇率</t>
  </si>
  <si>
    <t>利润率</t>
  </si>
  <si>
    <t>报价</t>
  </si>
  <si>
    <t>数量</t>
  </si>
  <si>
    <t>毛利润</t>
  </si>
  <si>
    <t>换汇成本</t>
  </si>
  <si>
    <t>总出口金额(美金)</t>
  </si>
  <si>
    <t>总出口金额(人民币)</t>
  </si>
  <si>
    <t>产品</t>
  </si>
  <si>
    <t>尿垫 60*90 10片/袋 4高分子</t>
  </si>
  <si>
    <t>原料</t>
  </si>
  <si>
    <t>重量(每袋/每盒)</t>
  </si>
  <si>
    <t>彩袋辅料</t>
  </si>
  <si>
    <t>升位</t>
  </si>
  <si>
    <t>香味定制</t>
  </si>
  <si>
    <t>产品税点</t>
  </si>
  <si>
    <t>外箱价格</t>
  </si>
  <si>
    <t>每吨成本</t>
  </si>
  <si>
    <t>内陆运费用平摊</t>
  </si>
  <si>
    <t>吨数</t>
  </si>
  <si>
    <t>袋数</t>
  </si>
  <si>
    <t>外箱包装数量</t>
  </si>
  <si>
    <t>退税信息</t>
  </si>
  <si>
    <t>运输方式</t>
  </si>
  <si>
    <t>豆腐猫砂 退9%</t>
  </si>
  <si>
    <t>水晶猫砂退13%</t>
  </si>
  <si>
    <t>沸石猫砂退13%</t>
  </si>
  <si>
    <t>膨润土猫砂退13%</t>
  </si>
  <si>
    <t>木薯猫砂退9%</t>
  </si>
  <si>
    <t>松木猫砂不退税</t>
  </si>
  <si>
    <t>运输规格</t>
  </si>
  <si>
    <t>备注</t>
  </si>
  <si>
    <t>陆运起始点</t>
  </si>
  <si>
    <t>新客户报价标准：首次报价，只要单品或不同品拼成整柜数量统一按5%利润率报价</t>
  </si>
  <si>
    <t>陆运终点港口</t>
  </si>
  <si>
    <t>公司策略：先低利润提升客户成交数量 ！！！</t>
  </si>
  <si>
    <t>工厂陆运费用</t>
  </si>
  <si>
    <t>新客户报价标准统一按8%利润</t>
  </si>
  <si>
    <t>产品名称</t>
  </si>
  <si>
    <t>购买成本</t>
  </si>
  <si>
    <t>标准重量</t>
  </si>
  <si>
    <t>体积重量比</t>
  </si>
  <si>
    <t>发货地</t>
  </si>
  <si>
    <t>供货商</t>
  </si>
  <si>
    <t>膨润土球砂(袋装)</t>
  </si>
  <si>
    <t>0.8g/cm³</t>
  </si>
  <si>
    <t>赤峰宁城</t>
  </si>
  <si>
    <t>捷特</t>
  </si>
  <si>
    <t>膨润土球砂(盒装)</t>
  </si>
  <si>
    <t>破碎矿砂</t>
  </si>
  <si>
    <t>水晶猫砂</t>
  </si>
  <si>
    <t>沸石猫砂</t>
  </si>
  <si>
    <t>水晶猫砂(100%无杂质)东晨</t>
  </si>
  <si>
    <t>0.395kg/L</t>
  </si>
  <si>
    <t>烟台</t>
  </si>
  <si>
    <t>东晨</t>
  </si>
  <si>
    <t>水晶猫砂(100%无杂质)乾源</t>
  </si>
  <si>
    <t>乾源</t>
  </si>
  <si>
    <t>沸石猫砂伴侣</t>
  </si>
  <si>
    <t>天津</t>
  </si>
  <si>
    <t>爱乐萌</t>
  </si>
  <si>
    <t>松木猫砂(100%无杂质)</t>
  </si>
  <si>
    <t>大连</t>
  </si>
  <si>
    <t>盛邦</t>
  </si>
  <si>
    <t>松木片垫料(100%无杂质)</t>
  </si>
  <si>
    <t>越南</t>
  </si>
  <si>
    <t>越南松木加工厂</t>
  </si>
  <si>
    <t>5A 短粒豆腐砂
（适用于自动猫砂盆）</t>
  </si>
  <si>
    <t>魔奥</t>
  </si>
  <si>
    <t>5A 豆腐砂</t>
  </si>
  <si>
    <t>3A 优级-功效型 红火山泥条柱砂</t>
  </si>
  <si>
    <t>3A 优级-功效型 黑火山泥条柱砂</t>
  </si>
  <si>
    <t>3A 优级-功效型 沸石条柱砂</t>
  </si>
  <si>
    <t>3A 优级-功效型 咖啡条柱猫砂</t>
  </si>
  <si>
    <t>3A 优级-功效型 茶叶条柱猫砂</t>
  </si>
  <si>
    <t>3A  豆腐砂</t>
  </si>
  <si>
    <t>轻质纤维砂</t>
  </si>
  <si>
    <t>A 标准-功效型 红火山泥条柱砂</t>
  </si>
  <si>
    <t>A 标准-功效型 黑火山泥条柱砂</t>
  </si>
  <si>
    <t>A 标准-功效型 沸石条柱砂</t>
  </si>
  <si>
    <t>A 标准-功效型 咖啡条柱猫砂</t>
  </si>
  <si>
    <t>A 标准-功效型 茶叶条柱猫砂</t>
  </si>
  <si>
    <t>A 豆腐砂</t>
  </si>
  <si>
    <t>B 豆腐砂</t>
  </si>
  <si>
    <t>C 豆腐砂</t>
  </si>
  <si>
    <t>D 豆腐砂</t>
  </si>
  <si>
    <t>极细木薯猫砂</t>
  </si>
  <si>
    <t>松木垫料(越南)</t>
  </si>
  <si>
    <t>宠物拾便袋（分拣器+袋）</t>
  </si>
  <si>
    <t>善德来</t>
  </si>
  <si>
    <t>原木浆纸棉</t>
  </si>
  <si>
    <t>燃烧木颗粒</t>
    <phoneticPr fontId="12" type="noConversion"/>
  </si>
  <si>
    <t>北京</t>
    <phoneticPr fontId="12" type="noConversion"/>
  </si>
  <si>
    <t>拼箱</t>
  </si>
  <si>
    <t>海运(拼箱)</t>
  </si>
  <si>
    <t>\</t>
  </si>
  <si>
    <t>天津港</t>
  </si>
  <si>
    <t>重量</t>
    <phoneticPr fontId="14" type="noConversion"/>
  </si>
  <si>
    <t>吨数</t>
    <phoneticPr fontId="14" type="noConversion"/>
  </si>
  <si>
    <t>袋数</t>
    <phoneticPr fontId="14" type="noConversion"/>
  </si>
  <si>
    <t>成本</t>
    <phoneticPr fontId="14" type="noConversion"/>
  </si>
  <si>
    <t>美金售价</t>
    <phoneticPr fontId="14" type="noConversion"/>
  </si>
  <si>
    <t>利润</t>
    <phoneticPr fontId="14" type="noConversion"/>
  </si>
  <si>
    <t>美金总出口额</t>
    <phoneticPr fontId="14" type="noConversion"/>
  </si>
  <si>
    <t>人民币总出口额</t>
    <phoneticPr fontId="14" type="noConversion"/>
  </si>
  <si>
    <t>记录</t>
    <phoneticPr fontId="14" type="noConversion"/>
  </si>
  <si>
    <t>&gt;&gt;&gt; 文件已打开</t>
  </si>
  <si>
    <t>修改了 C4</t>
  </si>
  <si>
    <t>修改了 C9</t>
  </si>
  <si>
    <t>河北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</si>
</sst>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\¥#,##0.00;\¥\-#,##0.00"/>
    <numFmt numFmtId="177" formatCode="0.0%"/>
    <numFmt numFmtId="178" formatCode="\$#,##0.0000;\-\$#,##0.0000"/>
    <numFmt numFmtId="179" formatCode="0&quot;袋&quot;"/>
    <numFmt numFmtId="180" formatCode="\$#,##0.00;\-\$#,##0.00"/>
    <numFmt numFmtId="181" formatCode="0.0&quot;kg&quot;"/>
    <numFmt numFmtId="182" formatCode="0.0&quot;L&quot;"/>
    <numFmt numFmtId="183" formatCode="\¥#,##0.0;\¥\-#,##0.0"/>
    <numFmt numFmtId="184" formatCode="0.0&quot;吨&quot;"/>
    <numFmt numFmtId="185" formatCode="0&quot;箱&quot;"/>
    <numFmt numFmtId="186" formatCode="yyyy\-mm\-dd\ hh:mm:ss"/>
    <numFmt numFmtId="187" formatCode="&quot;最&quot;&quot;后&quot;&quot;修&quot;&quot;改&quot;&quot;时&quot;&quot;间&quot;\:yyyy\-mm\-dd\ hh:mm:ss"/>
  </numFmts>
  <fonts count="18" x14ac:knownFonts="1">
    <font>
      <sz val="11"/>
      <color theme="1"/>
      <name val="宋体"/>
      <charset val="134"/>
      <scheme val="minor"/>
    </font>
    <font>
      <b/>
      <sz val="12"/>
      <color theme="1"/>
      <name val="等线"/>
      <family val="3"/>
      <charset val="134"/>
    </font>
    <font>
      <b/>
      <sz val="14"/>
      <color theme="1"/>
      <name val="等线"/>
      <family val="3"/>
      <charset val="134"/>
    </font>
    <font>
      <sz val="12"/>
      <color theme="1"/>
      <name val="等线"/>
      <family val="3"/>
      <charset val="134"/>
    </font>
    <font>
      <sz val="11"/>
      <color theme="1"/>
      <name val="等线"/>
      <family val="3"/>
      <charset val="134"/>
    </font>
    <font>
      <b/>
      <sz val="11"/>
      <color theme="1"/>
      <name val="等线"/>
      <family val="3"/>
      <charset val="134"/>
    </font>
    <font>
      <b/>
      <sz val="26"/>
      <color theme="0"/>
      <name val="等线"/>
      <family val="3"/>
      <charset val="134"/>
    </font>
    <font>
      <b/>
      <sz val="12"/>
      <color rgb="FFFF0000"/>
      <name val="等线"/>
      <family val="3"/>
      <charset val="134"/>
    </font>
    <font>
      <b/>
      <sz val="14"/>
      <name val="等线"/>
      <family val="3"/>
      <charset val="134"/>
    </font>
    <font>
      <b/>
      <sz val="12"/>
      <name val="等线"/>
      <family val="3"/>
      <charset val="134"/>
    </font>
    <font>
      <sz val="12"/>
      <name val="等线"/>
      <family val="3"/>
      <charset val="134"/>
    </font>
    <font>
      <sz val="14"/>
      <color theme="1"/>
      <name val="等线"/>
      <family val="3"/>
      <charset val="134"/>
    </font>
    <font>
      <sz val="9"/>
      <name val="宋体"/>
      <family val="3"/>
      <charset val="134"/>
      <scheme val="minor"/>
    </font>
    <font>
      <sz val="12"/>
      <color theme="1"/>
      <name val="等线"/>
      <family val="3"/>
      <charset val="134"/>
    </font>
    <font>
      <sz val="9"/>
      <name val="宋体"/>
      <family val="3"/>
      <charset val="134"/>
      <scheme val="minor"/>
    </font>
    <font>
      <b/>
      <sz val="12"/>
      <color theme="1"/>
      <name val="等线"/>
      <family val="3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74">
    <xf numFmtId="0" fontId="0" fillId="0" borderId="0" xfId="0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0" xfId="0" applyFont="1" applyFill="1">
      <alignment vertical="center"/>
    </xf>
    <xf numFmtId="0" fontId="7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/>
    </xf>
    <xf numFmtId="176" fontId="1" fillId="2" borderId="3" xfId="0" applyNumberFormat="1" applyFont="1" applyFill="1" applyBorder="1" applyAlignment="1">
      <alignment horizontal="center" vertical="center" wrapText="1"/>
    </xf>
    <xf numFmtId="177" fontId="1" fillId="2" borderId="3" xfId="0" applyNumberFormat="1" applyFont="1" applyFill="1" applyBorder="1" applyAlignment="1">
      <alignment horizontal="center" vertical="center" wrapText="1"/>
    </xf>
    <xf numFmtId="9" fontId="1" fillId="2" borderId="3" xfId="0" applyNumberFormat="1" applyFont="1" applyFill="1" applyBorder="1" applyAlignment="1">
      <alignment horizontal="center" vertical="center" wrapText="1"/>
    </xf>
    <xf numFmtId="178" fontId="1" fillId="2" borderId="3" xfId="0" applyNumberFormat="1" applyFont="1" applyFill="1" applyBorder="1" applyAlignment="1">
      <alignment horizontal="center" vertical="center" wrapText="1"/>
    </xf>
    <xf numFmtId="179" fontId="1" fillId="2" borderId="3" xfId="0" applyNumberFormat="1" applyFont="1" applyFill="1" applyBorder="1" applyAlignment="1">
      <alignment horizontal="center" vertical="center" wrapText="1"/>
    </xf>
    <xf numFmtId="2" fontId="1" fillId="2" borderId="3" xfId="0" applyNumberFormat="1" applyFont="1" applyFill="1" applyBorder="1" applyAlignment="1">
      <alignment horizontal="center" vertical="center" wrapText="1"/>
    </xf>
    <xf numFmtId="180" fontId="1" fillId="2" borderId="3" xfId="0" applyNumberFormat="1" applyFont="1" applyFill="1" applyBorder="1" applyAlignment="1">
      <alignment horizontal="center" vertical="center" wrapText="1"/>
    </xf>
    <xf numFmtId="176" fontId="1" fillId="2" borderId="3" xfId="0" applyNumberFormat="1" applyFont="1" applyFill="1" applyBorder="1" applyAlignment="1">
      <alignment horizontal="center" vertical="center"/>
    </xf>
    <xf numFmtId="181" fontId="9" fillId="2" borderId="3" xfId="0" applyNumberFormat="1" applyFont="1" applyFill="1" applyBorder="1" applyAlignment="1">
      <alignment horizontal="center" vertical="center"/>
    </xf>
    <xf numFmtId="176" fontId="9" fillId="2" borderId="3" xfId="0" applyNumberFormat="1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7" xfId="0" applyFont="1" applyFill="1" applyBorder="1">
      <alignment vertical="center"/>
    </xf>
    <xf numFmtId="0" fontId="9" fillId="2" borderId="8" xfId="0" applyFont="1" applyFill="1" applyBorder="1">
      <alignment vertical="center"/>
    </xf>
    <xf numFmtId="182" fontId="9" fillId="2" borderId="3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0" xfId="0" applyFont="1" applyFill="1">
      <alignment vertical="center"/>
    </xf>
    <xf numFmtId="0" fontId="9" fillId="2" borderId="10" xfId="0" applyFont="1" applyFill="1" applyBorder="1">
      <alignment vertical="center"/>
    </xf>
    <xf numFmtId="183" fontId="9" fillId="2" borderId="3" xfId="0" applyNumberFormat="1" applyFont="1" applyFill="1" applyBorder="1" applyAlignment="1">
      <alignment horizontal="center" vertical="center"/>
    </xf>
    <xf numFmtId="184" fontId="9" fillId="2" borderId="3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6" fontId="9" fillId="2" borderId="0" xfId="0" applyNumberFormat="1" applyFont="1" applyFill="1" applyAlignment="1">
      <alignment horizontal="center" vertical="center"/>
    </xf>
    <xf numFmtId="179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185" fontId="9" fillId="2" borderId="3" xfId="0" applyNumberFormat="1" applyFont="1" applyFill="1" applyBorder="1" applyAlignment="1">
      <alignment horizontal="center" vertical="center"/>
    </xf>
    <xf numFmtId="0" fontId="5" fillId="2" borderId="9" xfId="0" applyFont="1" applyFill="1" applyBorder="1">
      <alignment vertical="center"/>
    </xf>
    <xf numFmtId="0" fontId="9" fillId="2" borderId="3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 wrapText="1"/>
    </xf>
    <xf numFmtId="0" fontId="5" fillId="2" borderId="5" xfId="0" applyFont="1" applyFill="1" applyBorder="1">
      <alignment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5" xfId="0" applyFont="1" applyFill="1" applyBorder="1">
      <alignment vertical="center"/>
    </xf>
    <xf numFmtId="0" fontId="1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86" fontId="16" fillId="0" borderId="0" xfId="0" applyNumberFormat="1" applyFont="1">
      <alignment vertical="center"/>
    </xf>
    <xf numFmtId="0" fontId="16" fillId="0" borderId="3" xfId="0" applyFont="1" applyBorder="1" applyAlignment="1">
      <alignment horizontal="center" vertical="center"/>
    </xf>
    <xf numFmtId="187" fontId="15" fillId="2" borderId="0" xfId="0" applyNumberFormat="1" applyFont="1" applyFill="1" applyAlignment="1">
      <alignment horizontal="right" vertical="top"/>
    </xf>
    <xf numFmtId="0" fontId="11" fillId="2" borderId="3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176" fontId="11" fillId="2" borderId="4" xfId="0" applyNumberFormat="1" applyFont="1" applyFill="1" applyBorder="1" applyAlignment="1">
      <alignment horizontal="center" vertical="center"/>
    </xf>
    <xf numFmtId="176" fontId="11" fillId="2" borderId="11" xfId="0" applyNumberFormat="1" applyFont="1" applyFill="1" applyBorder="1" applyAlignment="1">
      <alignment horizontal="center" vertical="center"/>
    </xf>
    <xf numFmtId="176" fontId="11" fillId="2" borderId="12" xfId="0" applyNumberFormat="1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</cellXfs>
  <cellStyles count="1">
    <cellStyle name="常规" xfId="0" builtinId="0"/>
  </cellStyles>
  <dxfs count="7">
    <dxf>
      <font>
        <b val="0"/>
        <i val="0"/>
        <strike val="0"/>
        <u val="none"/>
        <sz val="12"/>
        <color theme="1"/>
        <name val="等线"/>
        <charset val="134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theme="1"/>
        <name val="等线"/>
        <charset val="134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theme="1"/>
        <name val="等线"/>
        <charset val="134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theme="1"/>
        <name val="等线"/>
        <charset val="134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theme="1"/>
        <name val="等线"/>
        <family val="3"/>
        <charset val="134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theme="1"/>
        <name val="等线"/>
        <charset val="134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theme="1"/>
        <name val="等线"/>
        <charset val="134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G43" totalsRowShown="0">
  <autoFilter ref="A1:G43" xr:uid="{00000000-0009-0000-0100-000001000000}">
    <filterColumn colId="1">
      <customFilters>
        <customFilter operator="notEqual" val=""/>
      </customFilters>
    </filterColumn>
  </autoFilter>
  <tableColumns count="7">
    <tableColumn id="1" xr3:uid="{00000000-0010-0000-0000-000001000000}" name="产品名称" dataDxfId="6"/>
    <tableColumn id="2" xr3:uid="{00000000-0010-0000-0000-000002000000}" name="购买成本" dataDxfId="5"/>
    <tableColumn id="7" xr3:uid="{00000000-0010-0000-0000-000007000000}" name="产品税点" dataDxfId="4"/>
    <tableColumn id="3" xr3:uid="{00000000-0010-0000-0000-000003000000}" name="标准重量" dataDxfId="3"/>
    <tableColumn id="4" xr3:uid="{00000000-0010-0000-0000-000004000000}" name="体积重量比" dataDxfId="2"/>
    <tableColumn id="5" xr3:uid="{00000000-0010-0000-0000-000005000000}" name="发货地" dataDxfId="1"/>
    <tableColumn id="6" xr3:uid="{00000000-0010-0000-0000-000006000000}" name="供货商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17"/>
  <sheetViews>
    <sheetView tabSelected="1" zoomScale="62" zoomScaleNormal="55" workbookViewId="0">
      <selection activeCell="C11" sqref="C11"/>
    </sheetView>
  </sheetViews>
  <sheetFormatPr defaultColWidth="9" defaultRowHeight="13.8" x14ac:dyDescent="0.25"/>
  <cols>
    <col min="1" max="1" width="3.88671875" style="11" customWidth="1"/>
    <col min="2" max="2" width="28.33203125" style="11" customWidth="1"/>
    <col min="3" max="3" width="23.6640625" style="11" customWidth="1"/>
    <col min="4" max="4" width="25.44140625" style="11" customWidth="1"/>
    <col min="5" max="6" width="22.77734375" style="11" customWidth="1"/>
    <col min="7" max="7" width="14.44140625" style="11" customWidth="1"/>
    <col min="8" max="8" width="12.44140625" style="11" customWidth="1"/>
    <col min="9" max="9" width="11.44140625" style="11" customWidth="1"/>
    <col min="10" max="10" width="19.44140625" style="11" customWidth="1"/>
    <col min="11" max="11" width="12.77734375" style="11" customWidth="1"/>
    <col min="12" max="12" width="15.5546875" style="11" customWidth="1"/>
    <col min="13" max="13" width="15.21875" style="11" customWidth="1"/>
    <col min="14" max="14" width="12.77734375" style="11" customWidth="1"/>
    <col min="15" max="15" width="15" style="11" customWidth="1"/>
    <col min="16" max="16" width="13.33203125" style="11" customWidth="1"/>
    <col min="17" max="17" width="22.88671875" style="11" customWidth="1"/>
    <col min="18" max="18" width="40.21875" style="11" customWidth="1"/>
    <col min="19" max="16384" width="9" style="11"/>
  </cols>
  <sheetData>
    <row r="1" spans="2:18" ht="19.2" customHeight="1" x14ac:dyDescent="0.25">
      <c r="B1" s="60" t="s">
        <v>0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</row>
    <row r="2" spans="2:18" ht="36" customHeight="1" x14ac:dyDescent="0.25"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2:18" ht="46.8" customHeight="1" x14ac:dyDescent="0.25">
      <c r="B3" s="12"/>
      <c r="C3" s="13" t="s">
        <v>1</v>
      </c>
      <c r="D3" s="13" t="s">
        <v>2</v>
      </c>
      <c r="E3" s="13" t="s">
        <v>3</v>
      </c>
      <c r="F3" s="13" t="s">
        <v>4</v>
      </c>
      <c r="G3" s="13" t="s">
        <v>5</v>
      </c>
      <c r="H3" s="13" t="s">
        <v>6</v>
      </c>
      <c r="I3" s="13" t="s">
        <v>7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3" t="s">
        <v>13</v>
      </c>
      <c r="P3" s="13" t="s">
        <v>14</v>
      </c>
      <c r="Q3" s="13" t="s">
        <v>15</v>
      </c>
      <c r="R3" s="13" t="s">
        <v>16</v>
      </c>
    </row>
    <row r="4" spans="2:18" ht="36.6" customHeight="1" x14ac:dyDescent="0.25">
      <c r="B4" s="14" t="s">
        <v>17</v>
      </c>
      <c r="C4" s="15" t="s">
        <v>70</v>
      </c>
      <c r="D4" s="16" t="s">
        <v>19</v>
      </c>
      <c r="E4" s="17">
        <f>IFERROR((C8*C7+C8)*C9/C10,0)</f>
        <v>31.936</v>
      </c>
      <c r="F4" s="17">
        <f>IFERROR(E4+E5+E6++E7+E8,0)</f>
        <v>34.436</v>
      </c>
      <c r="G4" s="17">
        <f>(1200+(C9-1)*100)/C10</f>
        <v>13</v>
      </c>
      <c r="H4" s="18">
        <v>0.13</v>
      </c>
      <c r="I4" s="17">
        <f>IFERROR(F4/1.13*H4,0)</f>
        <v>3.9616637168141597</v>
      </c>
      <c r="J4" s="17">
        <f>IFERROR((F4+G4-I4),0)</f>
        <v>43.474336283185842</v>
      </c>
      <c r="K4" s="15">
        <v>6.9</v>
      </c>
      <c r="L4" s="19">
        <v>0.05</v>
      </c>
      <c r="M4" s="20">
        <f>J4/(1-L4)/K4</f>
        <v>6.6322404703563453</v>
      </c>
      <c r="N4" s="21">
        <f>C10</f>
        <v>100</v>
      </c>
      <c r="O4" s="17">
        <f>(M4*N4*K4)-(J4*N4)</f>
        <v>228.81229622729461</v>
      </c>
      <c r="P4" s="22">
        <f>IFERROR(J4*N4/(M4*N4),0)</f>
        <v>6.5549999999999997</v>
      </c>
      <c r="Q4" s="23">
        <f>M4*N4</f>
        <v>663.2240470356345</v>
      </c>
      <c r="R4" s="24">
        <f>IFERROR(J4*(1+L4)*N4,0)</f>
        <v>4564.8053097345137</v>
      </c>
    </row>
    <row r="5" spans="2:18" ht="36.6" customHeight="1" x14ac:dyDescent="0.25">
      <c r="B5" s="16" t="s">
        <v>20</v>
      </c>
      <c r="C5" s="25">
        <v>20</v>
      </c>
      <c r="D5" s="16" t="s">
        <v>21</v>
      </c>
      <c r="E5" s="26">
        <v>0.5</v>
      </c>
      <c r="F5" s="27"/>
      <c r="G5" s="28"/>
      <c r="H5" s="28"/>
      <c r="I5" s="28"/>
      <c r="J5" s="29"/>
      <c r="K5" s="29"/>
      <c r="L5" s="29"/>
      <c r="M5" s="29"/>
      <c r="N5" s="29"/>
      <c r="O5" s="29"/>
      <c r="P5" s="28"/>
      <c r="Q5" s="28"/>
      <c r="R5" s="30"/>
    </row>
    <row r="6" spans="2:18" ht="36.6" customHeight="1" x14ac:dyDescent="0.25">
      <c r="B6" s="16" t="s">
        <v>22</v>
      </c>
      <c r="C6" s="31">
        <v>0</v>
      </c>
      <c r="D6" s="16" t="s">
        <v>23</v>
      </c>
      <c r="E6" s="26">
        <v>0</v>
      </c>
      <c r="F6" s="32"/>
      <c r="G6" s="33"/>
      <c r="H6" s="33"/>
      <c r="I6" s="33"/>
      <c r="J6" s="34"/>
      <c r="K6" s="34"/>
      <c r="L6" s="34"/>
      <c r="M6" s="34"/>
      <c r="N6" s="34"/>
      <c r="O6" s="34"/>
      <c r="P6" s="33"/>
      <c r="Q6" s="33"/>
      <c r="R6" s="35"/>
    </row>
    <row r="7" spans="2:18" ht="36.6" customHeight="1" x14ac:dyDescent="0.25">
      <c r="B7" s="16" t="s">
        <v>24</v>
      </c>
      <c r="C7" s="18">
        <v>0</v>
      </c>
      <c r="D7" s="16" t="s">
        <v>25</v>
      </c>
      <c r="E7" s="26"/>
      <c r="F7" s="32"/>
      <c r="G7" s="33"/>
      <c r="M7" s="34"/>
      <c r="N7" s="34"/>
      <c r="O7" s="34"/>
      <c r="P7" s="33"/>
      <c r="Q7" s="33"/>
      <c r="R7" s="35"/>
    </row>
    <row r="8" spans="2:18" ht="36.6" customHeight="1" x14ac:dyDescent="0.25">
      <c r="B8" s="16" t="s">
        <v>26</v>
      </c>
      <c r="C8" s="36">
        <f>IFERROR(VLOOKUP($C$4,产品目录!A2:B100,2,FALSE),0)</f>
        <v>1596.8</v>
      </c>
      <c r="D8" s="16" t="s">
        <v>27</v>
      </c>
      <c r="E8" s="26">
        <f>IFERROR(C16/C10,0)</f>
        <v>2</v>
      </c>
      <c r="F8" s="32"/>
      <c r="M8" s="34"/>
      <c r="N8" s="34"/>
      <c r="O8" s="34"/>
      <c r="P8" s="33"/>
      <c r="Q8" s="33"/>
      <c r="R8" s="35"/>
    </row>
    <row r="9" spans="2:18" ht="36.6" customHeight="1" x14ac:dyDescent="0.25">
      <c r="B9" s="16" t="s">
        <v>28</v>
      </c>
      <c r="C9" s="37">
        <v>2</v>
      </c>
      <c r="D9" s="38"/>
      <c r="E9" s="39"/>
      <c r="F9" s="33"/>
      <c r="Q9" s="33"/>
      <c r="R9" s="35"/>
    </row>
    <row r="10" spans="2:18" ht="36.6" customHeight="1" x14ac:dyDescent="0.25">
      <c r="B10" s="16" t="s">
        <v>29</v>
      </c>
      <c r="C10" s="40">
        <f>(C9*1000)/C5</f>
        <v>100</v>
      </c>
      <c r="D10" s="41"/>
      <c r="E10" s="39"/>
      <c r="F10" s="33"/>
      <c r="Q10" s="33"/>
      <c r="R10" s="35"/>
    </row>
    <row r="11" spans="2:18" ht="36.6" customHeight="1" x14ac:dyDescent="0.25">
      <c r="B11" s="16" t="s">
        <v>30</v>
      </c>
      <c r="C11" s="42" t="s">
        <v>104</v>
      </c>
      <c r="D11" s="43"/>
      <c r="E11" s="33"/>
      <c r="F11" s="33"/>
      <c r="M11" s="62" t="s">
        <v>31</v>
      </c>
      <c r="N11" s="63"/>
      <c r="O11" s="63"/>
      <c r="P11" s="63"/>
      <c r="Q11" s="63"/>
      <c r="R11" s="64"/>
    </row>
    <row r="12" spans="2:18" ht="36.6" customHeight="1" x14ac:dyDescent="0.25">
      <c r="B12" s="16" t="s">
        <v>32</v>
      </c>
      <c r="C12" s="44" t="s">
        <v>103</v>
      </c>
      <c r="D12" s="32"/>
      <c r="E12" s="33"/>
      <c r="F12" s="33"/>
      <c r="M12" s="45" t="s">
        <v>33</v>
      </c>
      <c r="N12" s="45" t="s">
        <v>34</v>
      </c>
      <c r="O12" s="45" t="s">
        <v>35</v>
      </c>
      <c r="P12" s="45" t="s">
        <v>36</v>
      </c>
      <c r="Q12" s="45" t="s">
        <v>37</v>
      </c>
      <c r="R12" s="45" t="s">
        <v>38</v>
      </c>
    </row>
    <row r="13" spans="2:18" ht="36.6" customHeight="1" x14ac:dyDescent="0.25">
      <c r="B13" s="16" t="s">
        <v>39</v>
      </c>
      <c r="C13" s="44" t="s">
        <v>102</v>
      </c>
      <c r="F13" s="33"/>
      <c r="M13" s="65" t="s">
        <v>40</v>
      </c>
      <c r="N13" s="66"/>
      <c r="O13" s="66"/>
      <c r="P13" s="66"/>
      <c r="Q13" s="66"/>
      <c r="R13" s="67"/>
    </row>
    <row r="14" spans="2:18" ht="36.6" customHeight="1" x14ac:dyDescent="0.25">
      <c r="B14" s="16" t="s">
        <v>41</v>
      </c>
      <c r="C14" s="44" t="s">
        <v>118</v>
      </c>
      <c r="F14" s="33"/>
      <c r="G14" s="33"/>
      <c r="I14" s="33"/>
      <c r="J14" s="34"/>
      <c r="M14" s="68" t="s">
        <v>42</v>
      </c>
      <c r="N14" s="69"/>
      <c r="O14" s="69"/>
      <c r="P14" s="69"/>
      <c r="Q14" s="69"/>
      <c r="R14" s="70"/>
    </row>
    <row r="15" spans="2:18" ht="36.6" customHeight="1" x14ac:dyDescent="0.25">
      <c r="B15" s="16" t="s">
        <v>43</v>
      </c>
      <c r="C15" s="44" t="s">
        <v>105</v>
      </c>
      <c r="F15" s="33"/>
      <c r="G15" s="33"/>
      <c r="H15" s="33"/>
      <c r="I15" s="33"/>
      <c r="J15" s="34"/>
      <c r="K15" s="34"/>
      <c r="L15" s="34"/>
      <c r="M15" s="71" t="s">
        <v>44</v>
      </c>
      <c r="N15" s="72"/>
      <c r="O15" s="72"/>
      <c r="P15" s="72"/>
      <c r="Q15" s="72"/>
      <c r="R15" s="73"/>
    </row>
    <row r="16" spans="2:18" ht="36.6" customHeight="1" x14ac:dyDescent="0.25">
      <c r="B16" s="16" t="s">
        <v>45</v>
      </c>
      <c r="C16" s="36">
        <v>200</v>
      </c>
      <c r="D16" s="46"/>
      <c r="E16" s="46"/>
      <c r="F16" s="47"/>
      <c r="G16" s="47"/>
      <c r="H16" s="47"/>
      <c r="I16" s="47"/>
      <c r="J16" s="48"/>
      <c r="K16" s="48"/>
      <c r="L16" s="48"/>
      <c r="M16" s="59" t="s">
        <v>46</v>
      </c>
      <c r="N16" s="59"/>
      <c r="O16" s="59"/>
      <c r="P16" s="59"/>
      <c r="Q16" s="59"/>
      <c r="R16" s="59"/>
    </row>
    <row r="17" spans="18:18" ht="22.8" customHeight="1" x14ac:dyDescent="0.25">
      <c r="R17" s="58">
        <v>46056.581250000003</v>
      </c>
    </row>
  </sheetData>
  <dataConsolidate/>
  <mergeCells count="6">
    <mergeCell ref="M16:R16"/>
    <mergeCell ref="B1:R2"/>
    <mergeCell ref="M11:R11"/>
    <mergeCell ref="M13:R13"/>
    <mergeCell ref="M14:R14"/>
    <mergeCell ref="M15:R15"/>
  </mergeCells>
  <phoneticPr fontId="14" type="noConversion"/>
  <dataValidations count="6">
    <dataValidation type="list" showInputMessage="1" showErrorMessage="1" sqref="G4" xr:uid="{00000000-0002-0000-0000-000001000000}">
      <formula1>"/,=(1200+(C9-1)*100)/C10, =4200/c10, =3500/c10"</formula1>
    </dataValidation>
    <dataValidation type="list" allowBlank="1" showInputMessage="1" showErrorMessage="1" sqref="H4" xr:uid="{00000000-0002-0000-0000-000002000000}">
      <formula1>"0,0.01,0.025,0.03,0.05,0.06,0.09,0.10,0.13"</formula1>
    </dataValidation>
    <dataValidation type="list" allowBlank="1" showInputMessage="1" showErrorMessage="1" sqref="C11" xr:uid="{00000000-0002-0000-0000-000003000000}">
      <formula1>"\,=C10/8,=C10/6,=C10/4,=C10/2"</formula1>
    </dataValidation>
    <dataValidation type="list" allowBlank="1" showInputMessage="1" showErrorMessage="1" sqref="C12" xr:uid="{00000000-0002-0000-0000-000004000000}">
      <formula1>"/,快递,海运(整柜),海运(拼箱),海运(其他),陆运(火车),陆运(其他),航运(拼货),航运(包机)"</formula1>
    </dataValidation>
    <dataValidation type="list" allowBlank="1" showInputMessage="1" showErrorMessage="1" sqref="C13" xr:uid="{00000000-0002-0000-0000-000005000000}">
      <formula1>"1*20GP,1*40HQ,1*40RH,1*40RF,拼箱,其他,/,"</formula1>
    </dataValidation>
    <dataValidation type="list" allowBlank="1" showInputMessage="1" showErrorMessage="1" sqref="C15" xr:uid="{564228C6-A2D8-49BE-B0BA-387D9BC24801}">
      <formula1>"大连港,营口港,盘锦港,锦州港,葫芦岛港,秦皇岛港,唐山港,天津港,潍坊港,烟台港,威海港,青岛港,日照港,连云港港,盐城港,南通港,上海港,宁波舟山港,台州港,福州港,莆田港,深圳港,东莞港,广州港"</formula1>
    </dataValidation>
  </dataValidations>
  <pageMargins left="0.7" right="0.7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产品目录!$A$2:$A$101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0"/>
  <sheetViews>
    <sheetView topLeftCell="A34" zoomScale="70" zoomScaleNormal="70" workbookViewId="0">
      <selection activeCell="A39" sqref="A39:XFD39"/>
    </sheetView>
  </sheetViews>
  <sheetFormatPr defaultColWidth="26.109375" defaultRowHeight="15.6" x14ac:dyDescent="0.25"/>
  <cols>
    <col min="1" max="16384" width="26.109375" style="2"/>
  </cols>
  <sheetData>
    <row r="1" spans="1:7" ht="24" customHeight="1" x14ac:dyDescent="0.25">
      <c r="A1" s="3" t="s">
        <v>47</v>
      </c>
      <c r="B1" s="3" t="s">
        <v>48</v>
      </c>
      <c r="C1" s="3" t="s">
        <v>24</v>
      </c>
      <c r="D1" s="3" t="s">
        <v>49</v>
      </c>
      <c r="E1" s="3" t="s">
        <v>50</v>
      </c>
      <c r="F1" s="3" t="s">
        <v>51</v>
      </c>
      <c r="G1" s="4" t="s">
        <v>52</v>
      </c>
    </row>
    <row r="2" spans="1:7" ht="38.4" customHeight="1" x14ac:dyDescent="0.25">
      <c r="A2" s="5" t="s">
        <v>53</v>
      </c>
      <c r="B2" s="5">
        <v>470</v>
      </c>
      <c r="C2" s="5">
        <v>0.03</v>
      </c>
      <c r="D2" s="5"/>
      <c r="E2" s="5" t="s">
        <v>54</v>
      </c>
      <c r="F2" s="5" t="s">
        <v>55</v>
      </c>
      <c r="G2" s="6" t="s">
        <v>56</v>
      </c>
    </row>
    <row r="3" spans="1:7" ht="38.4" customHeight="1" x14ac:dyDescent="0.25">
      <c r="A3" s="5" t="s">
        <v>57</v>
      </c>
      <c r="B3" s="5">
        <v>470</v>
      </c>
      <c r="C3" s="5">
        <v>0.03</v>
      </c>
      <c r="D3" s="5"/>
      <c r="E3" s="5" t="s">
        <v>54</v>
      </c>
      <c r="F3" s="5" t="s">
        <v>55</v>
      </c>
      <c r="G3" s="6" t="s">
        <v>56</v>
      </c>
    </row>
    <row r="4" spans="1:7" ht="38.4" customHeight="1" x14ac:dyDescent="0.25">
      <c r="A4" s="5" t="s">
        <v>58</v>
      </c>
      <c r="B4" s="5">
        <v>1200</v>
      </c>
      <c r="C4" s="5">
        <v>0.03</v>
      </c>
      <c r="D4" s="5"/>
      <c r="E4" s="5" t="s">
        <v>54</v>
      </c>
      <c r="F4" s="5" t="s">
        <v>55</v>
      </c>
      <c r="G4" s="6" t="s">
        <v>56</v>
      </c>
    </row>
    <row r="5" spans="1:7" ht="24" hidden="1" customHeight="1" x14ac:dyDescent="0.25">
      <c r="A5" s="5" t="s">
        <v>59</v>
      </c>
      <c r="B5" s="5"/>
      <c r="C5" s="5"/>
      <c r="D5" s="5"/>
      <c r="E5" s="5"/>
      <c r="F5" s="5"/>
      <c r="G5" s="6"/>
    </row>
    <row r="6" spans="1:7" ht="24" hidden="1" customHeight="1" x14ac:dyDescent="0.25">
      <c r="A6" s="5" t="s">
        <v>60</v>
      </c>
      <c r="B6" s="5"/>
      <c r="C6" s="5"/>
      <c r="D6" s="5"/>
      <c r="E6" s="5"/>
      <c r="F6" s="5"/>
      <c r="G6" s="6"/>
    </row>
    <row r="7" spans="1:7" ht="38.4" customHeight="1" x14ac:dyDescent="0.25">
      <c r="A7" s="7" t="s">
        <v>61</v>
      </c>
      <c r="B7" s="7">
        <v>4600</v>
      </c>
      <c r="C7" s="7">
        <v>0</v>
      </c>
      <c r="D7" s="5"/>
      <c r="E7" s="8" t="s">
        <v>62</v>
      </c>
      <c r="F7" s="5" t="s">
        <v>63</v>
      </c>
      <c r="G7" s="6" t="s">
        <v>64</v>
      </c>
    </row>
    <row r="8" spans="1:7" ht="38.4" customHeight="1" x14ac:dyDescent="0.25">
      <c r="A8" s="7" t="s">
        <v>65</v>
      </c>
      <c r="B8" s="7">
        <v>4750</v>
      </c>
      <c r="C8" s="7">
        <v>0</v>
      </c>
      <c r="D8" s="5"/>
      <c r="E8" s="9"/>
      <c r="F8" s="5" t="s">
        <v>63</v>
      </c>
      <c r="G8" s="6" t="s">
        <v>66</v>
      </c>
    </row>
    <row r="9" spans="1:7" ht="38.4" customHeight="1" x14ac:dyDescent="0.25">
      <c r="A9" s="7" t="s">
        <v>67</v>
      </c>
      <c r="B9" s="7"/>
      <c r="C9" s="7"/>
      <c r="D9" s="5"/>
      <c r="E9" s="5"/>
      <c r="F9" s="5" t="s">
        <v>68</v>
      </c>
      <c r="G9" s="6" t="s">
        <v>69</v>
      </c>
    </row>
    <row r="10" spans="1:7" ht="38.4" customHeight="1" x14ac:dyDescent="0.25">
      <c r="A10" s="7" t="s">
        <v>60</v>
      </c>
      <c r="B10" s="7"/>
      <c r="C10" s="7"/>
      <c r="D10" s="5"/>
      <c r="E10" s="5"/>
      <c r="F10" s="5" t="s">
        <v>68</v>
      </c>
      <c r="G10" s="6" t="s">
        <v>69</v>
      </c>
    </row>
    <row r="11" spans="1:7" ht="38.4" customHeight="1" x14ac:dyDescent="0.25">
      <c r="A11" s="7" t="s">
        <v>70</v>
      </c>
      <c r="B11" s="7">
        <v>1596.8</v>
      </c>
      <c r="C11" s="7">
        <v>0</v>
      </c>
      <c r="D11" s="5"/>
      <c r="E11" s="5"/>
      <c r="F11" s="5" t="s">
        <v>71</v>
      </c>
      <c r="G11" s="6" t="s">
        <v>72</v>
      </c>
    </row>
    <row r="12" spans="1:7" ht="38.4" customHeight="1" x14ac:dyDescent="0.25">
      <c r="A12" s="7" t="s">
        <v>73</v>
      </c>
      <c r="B12" s="7">
        <v>1800</v>
      </c>
      <c r="C12" s="7">
        <v>0</v>
      </c>
      <c r="D12" s="5"/>
      <c r="E12" s="5"/>
      <c r="F12" s="5" t="s">
        <v>74</v>
      </c>
      <c r="G12" s="6" t="s">
        <v>75</v>
      </c>
    </row>
    <row r="13" spans="1:7" ht="38.4" customHeight="1" x14ac:dyDescent="0.25">
      <c r="A13" s="7" t="s">
        <v>76</v>
      </c>
      <c r="B13" s="7">
        <v>4000</v>
      </c>
      <c r="C13" s="7">
        <v>0.13</v>
      </c>
      <c r="D13" s="5"/>
      <c r="E13" s="5"/>
      <c r="F13" s="5" t="s">
        <v>68</v>
      </c>
      <c r="G13" s="6" t="s">
        <v>77</v>
      </c>
    </row>
    <row r="14" spans="1:7" ht="38.4" customHeight="1" x14ac:dyDescent="0.25">
      <c r="A14" s="5" t="s">
        <v>78</v>
      </c>
      <c r="B14" s="9">
        <v>3800</v>
      </c>
      <c r="C14" s="7">
        <v>0.13</v>
      </c>
      <c r="D14" s="5"/>
      <c r="E14" s="5"/>
      <c r="F14" s="5" t="s">
        <v>68</v>
      </c>
      <c r="G14" s="6" t="s">
        <v>77</v>
      </c>
    </row>
    <row r="15" spans="1:7" s="1" customFormat="1" ht="38.4" customHeight="1" x14ac:dyDescent="0.25">
      <c r="A15" s="7" t="s">
        <v>79</v>
      </c>
      <c r="B15" s="7">
        <v>3500</v>
      </c>
      <c r="C15" s="7">
        <v>0.13</v>
      </c>
      <c r="D15" s="7"/>
      <c r="E15" s="7"/>
      <c r="F15" s="5" t="s">
        <v>68</v>
      </c>
      <c r="G15" s="6" t="s">
        <v>77</v>
      </c>
    </row>
    <row r="16" spans="1:7" s="1" customFormat="1" ht="38.4" customHeight="1" x14ac:dyDescent="0.25">
      <c r="A16" s="7" t="s">
        <v>80</v>
      </c>
      <c r="B16" s="7">
        <v>3500</v>
      </c>
      <c r="C16" s="7">
        <v>0.13</v>
      </c>
      <c r="D16" s="7"/>
      <c r="E16" s="7"/>
      <c r="F16" s="5" t="s">
        <v>68</v>
      </c>
      <c r="G16" s="6" t="s">
        <v>77</v>
      </c>
    </row>
    <row r="17" spans="1:7" s="1" customFormat="1" ht="38.4" customHeight="1" x14ac:dyDescent="0.25">
      <c r="A17" s="7" t="s">
        <v>81</v>
      </c>
      <c r="B17" s="7">
        <v>3500</v>
      </c>
      <c r="C17" s="7">
        <v>0.13</v>
      </c>
      <c r="D17" s="7"/>
      <c r="E17" s="7"/>
      <c r="F17" s="5" t="s">
        <v>68</v>
      </c>
      <c r="G17" s="6" t="s">
        <v>77</v>
      </c>
    </row>
    <row r="18" spans="1:7" s="1" customFormat="1" ht="38.4" customHeight="1" x14ac:dyDescent="0.25">
      <c r="A18" s="7" t="s">
        <v>82</v>
      </c>
      <c r="B18" s="7">
        <v>3500</v>
      </c>
      <c r="C18" s="7">
        <v>0.13</v>
      </c>
      <c r="D18" s="7"/>
      <c r="E18" s="7"/>
      <c r="F18" s="5" t="s">
        <v>68</v>
      </c>
      <c r="G18" s="6" t="s">
        <v>77</v>
      </c>
    </row>
    <row r="19" spans="1:7" s="1" customFormat="1" ht="38.4" customHeight="1" x14ac:dyDescent="0.25">
      <c r="A19" s="7" t="s">
        <v>83</v>
      </c>
      <c r="B19" s="7">
        <v>3500</v>
      </c>
      <c r="C19" s="7">
        <v>0.13</v>
      </c>
      <c r="D19" s="7"/>
      <c r="E19" s="7"/>
      <c r="F19" s="5" t="s">
        <v>68</v>
      </c>
      <c r="G19" s="6" t="s">
        <v>77</v>
      </c>
    </row>
    <row r="20" spans="1:7" ht="38.4" customHeight="1" x14ac:dyDescent="0.25">
      <c r="A20" s="5" t="s">
        <v>84</v>
      </c>
      <c r="B20" s="9">
        <v>3300</v>
      </c>
      <c r="C20" s="7">
        <v>0.13</v>
      </c>
      <c r="D20" s="5"/>
      <c r="E20" s="5"/>
      <c r="F20" s="5" t="s">
        <v>68</v>
      </c>
      <c r="G20" s="6" t="s">
        <v>77</v>
      </c>
    </row>
    <row r="21" spans="1:7" ht="38.4" customHeight="1" x14ac:dyDescent="0.25">
      <c r="A21" s="9" t="s">
        <v>85</v>
      </c>
      <c r="B21" s="5">
        <v>3800</v>
      </c>
      <c r="C21" s="7">
        <v>0.13</v>
      </c>
      <c r="D21" s="5"/>
      <c r="E21" s="5"/>
      <c r="F21" s="5" t="s">
        <v>68</v>
      </c>
      <c r="G21" s="6" t="s">
        <v>77</v>
      </c>
    </row>
    <row r="22" spans="1:7" ht="38.4" customHeight="1" x14ac:dyDescent="0.25">
      <c r="A22" s="10" t="s">
        <v>86</v>
      </c>
      <c r="B22" s="5">
        <v>2900</v>
      </c>
      <c r="C22" s="7">
        <v>0.13</v>
      </c>
      <c r="D22" s="5"/>
      <c r="E22" s="5"/>
      <c r="F22" s="5" t="s">
        <v>68</v>
      </c>
      <c r="G22" s="6" t="s">
        <v>77</v>
      </c>
    </row>
    <row r="23" spans="1:7" ht="38.4" customHeight="1" x14ac:dyDescent="0.25">
      <c r="A23" s="10" t="s">
        <v>87</v>
      </c>
      <c r="B23" s="5">
        <v>2900</v>
      </c>
      <c r="C23" s="7">
        <v>0.13</v>
      </c>
      <c r="D23" s="5"/>
      <c r="E23" s="5"/>
      <c r="F23" s="5" t="s">
        <v>68</v>
      </c>
      <c r="G23" s="6" t="s">
        <v>77</v>
      </c>
    </row>
    <row r="24" spans="1:7" ht="38.4" customHeight="1" x14ac:dyDescent="0.25">
      <c r="A24" s="10" t="s">
        <v>88</v>
      </c>
      <c r="B24" s="5">
        <v>2900</v>
      </c>
      <c r="C24" s="7">
        <v>0.13</v>
      </c>
      <c r="D24" s="5"/>
      <c r="E24" s="5"/>
      <c r="F24" s="5" t="s">
        <v>68</v>
      </c>
      <c r="G24" s="6" t="s">
        <v>77</v>
      </c>
    </row>
    <row r="25" spans="1:7" ht="38.4" customHeight="1" x14ac:dyDescent="0.25">
      <c r="A25" s="10" t="s">
        <v>89</v>
      </c>
      <c r="B25" s="5">
        <v>2900</v>
      </c>
      <c r="C25" s="7">
        <v>0.13</v>
      </c>
      <c r="D25" s="5"/>
      <c r="E25" s="5"/>
      <c r="F25" s="5" t="s">
        <v>68</v>
      </c>
      <c r="G25" s="6" t="s">
        <v>77</v>
      </c>
    </row>
    <row r="26" spans="1:7" ht="38.4" customHeight="1" x14ac:dyDescent="0.25">
      <c r="A26" s="10" t="s">
        <v>90</v>
      </c>
      <c r="B26" s="5">
        <v>2900</v>
      </c>
      <c r="C26" s="7">
        <v>0.13</v>
      </c>
      <c r="D26" s="5"/>
      <c r="E26" s="5"/>
      <c r="F26" s="5" t="s">
        <v>68</v>
      </c>
      <c r="G26" s="6" t="s">
        <v>77</v>
      </c>
    </row>
    <row r="27" spans="1:7" ht="38.4" customHeight="1" x14ac:dyDescent="0.25">
      <c r="A27" s="5" t="s">
        <v>91</v>
      </c>
      <c r="B27" s="5">
        <v>2700</v>
      </c>
      <c r="C27" s="5">
        <v>0.13</v>
      </c>
      <c r="D27" s="5"/>
      <c r="E27" s="5"/>
      <c r="F27" s="5" t="s">
        <v>68</v>
      </c>
      <c r="G27" s="6" t="s">
        <v>77</v>
      </c>
    </row>
    <row r="28" spans="1:7" ht="38.4" customHeight="1" x14ac:dyDescent="0.25">
      <c r="A28" s="5" t="s">
        <v>92</v>
      </c>
      <c r="B28" s="5">
        <v>2250</v>
      </c>
      <c r="C28" s="5">
        <v>0.13</v>
      </c>
      <c r="D28" s="5"/>
      <c r="E28" s="5"/>
      <c r="F28" s="5" t="s">
        <v>68</v>
      </c>
      <c r="G28" s="6" t="s">
        <v>77</v>
      </c>
    </row>
    <row r="29" spans="1:7" ht="38.4" customHeight="1" x14ac:dyDescent="0.25">
      <c r="A29" s="5" t="s">
        <v>93</v>
      </c>
      <c r="B29" s="5">
        <v>1900</v>
      </c>
      <c r="C29" s="5">
        <v>0.13</v>
      </c>
      <c r="D29" s="5"/>
      <c r="E29" s="5"/>
      <c r="F29" s="5" t="s">
        <v>68</v>
      </c>
      <c r="G29" s="6" t="s">
        <v>77</v>
      </c>
    </row>
    <row r="30" spans="1:7" ht="38.4" customHeight="1" x14ac:dyDescent="0.25">
      <c r="A30" s="5" t="s">
        <v>94</v>
      </c>
      <c r="B30" s="5">
        <v>1700</v>
      </c>
      <c r="C30" s="5">
        <v>0.13</v>
      </c>
      <c r="D30" s="5"/>
      <c r="E30" s="5"/>
      <c r="F30" s="5" t="s">
        <v>68</v>
      </c>
      <c r="G30" s="6" t="s">
        <v>77</v>
      </c>
    </row>
    <row r="31" spans="1:7" ht="38.4" customHeight="1" x14ac:dyDescent="0.25">
      <c r="A31" s="5" t="s">
        <v>95</v>
      </c>
      <c r="B31" s="5">
        <v>3800</v>
      </c>
      <c r="C31" s="5">
        <v>0.13</v>
      </c>
      <c r="D31" s="5"/>
      <c r="E31" s="5"/>
      <c r="F31" s="5" t="s">
        <v>68</v>
      </c>
      <c r="G31" s="6" t="s">
        <v>77</v>
      </c>
    </row>
    <row r="32" spans="1:7" ht="38.4" customHeight="1" x14ac:dyDescent="0.25">
      <c r="A32" s="5" t="s">
        <v>96</v>
      </c>
      <c r="B32" s="5">
        <v>1450</v>
      </c>
      <c r="C32" s="5">
        <v>0</v>
      </c>
      <c r="D32" s="5"/>
      <c r="E32" s="5"/>
      <c r="F32" s="5"/>
      <c r="G32" s="6"/>
    </row>
    <row r="33" spans="1:7" ht="38.4" customHeight="1" x14ac:dyDescent="0.25">
      <c r="A33" s="5" t="s">
        <v>97</v>
      </c>
      <c r="B33" s="5">
        <v>6.5</v>
      </c>
      <c r="C33" s="5">
        <v>0</v>
      </c>
      <c r="D33" s="5"/>
      <c r="E33" s="5"/>
      <c r="F33" s="5"/>
      <c r="G33" s="6"/>
    </row>
    <row r="34" spans="1:7" ht="38.4" customHeight="1" x14ac:dyDescent="0.25">
      <c r="A34" s="5" t="s">
        <v>18</v>
      </c>
      <c r="B34" s="5"/>
      <c r="C34" s="5">
        <v>0</v>
      </c>
      <c r="D34" s="5"/>
      <c r="E34" s="5"/>
      <c r="F34" s="5" t="s">
        <v>71</v>
      </c>
      <c r="G34" s="6" t="s">
        <v>98</v>
      </c>
    </row>
    <row r="35" spans="1:7" ht="38.4" customHeight="1" x14ac:dyDescent="0.25">
      <c r="A35" s="5" t="s">
        <v>99</v>
      </c>
      <c r="B35" s="5"/>
      <c r="C35" s="5"/>
      <c r="D35" s="5"/>
      <c r="E35" s="5"/>
      <c r="F35" s="5"/>
      <c r="G35" s="6"/>
    </row>
    <row r="36" spans="1:7" ht="38.4" customHeight="1" x14ac:dyDescent="0.25">
      <c r="A36" s="5"/>
      <c r="B36" s="5"/>
      <c r="C36" s="5"/>
      <c r="D36" s="5"/>
      <c r="E36" s="5"/>
      <c r="F36" s="5"/>
      <c r="G36" s="6"/>
    </row>
    <row r="37" spans="1:7" ht="38.4" customHeight="1" x14ac:dyDescent="0.25">
      <c r="A37" s="5"/>
      <c r="B37" s="5"/>
      <c r="C37" s="5"/>
      <c r="D37" s="5"/>
      <c r="E37" s="5"/>
      <c r="F37" s="5"/>
      <c r="G37" s="6"/>
    </row>
    <row r="38" spans="1:7" ht="38.4" customHeight="1" x14ac:dyDescent="0.25">
      <c r="A38" s="49" t="s">
        <v>100</v>
      </c>
      <c r="B38" s="5">
        <v>850</v>
      </c>
      <c r="C38" s="5">
        <v>3</v>
      </c>
      <c r="D38" s="5"/>
      <c r="E38" s="5"/>
      <c r="F38" s="49" t="s">
        <v>101</v>
      </c>
      <c r="G38" s="6"/>
    </row>
    <row r="39" spans="1:7" ht="38.4" customHeight="1" x14ac:dyDescent="0.25">
      <c r="A39" s="5"/>
      <c r="B39" s="5"/>
      <c r="C39" s="5"/>
      <c r="D39" s="5"/>
      <c r="E39" s="5"/>
      <c r="F39" s="5"/>
      <c r="G39" s="5"/>
    </row>
    <row r="40" spans="1:7" ht="24" hidden="1" customHeight="1" x14ac:dyDescent="0.25">
      <c r="A40" s="50"/>
      <c r="B40" s="50"/>
      <c r="C40" s="50"/>
      <c r="D40" s="50"/>
      <c r="E40" s="50"/>
      <c r="F40" s="50"/>
      <c r="G40" s="51"/>
    </row>
    <row r="41" spans="1:7" ht="24" hidden="1" customHeight="1" x14ac:dyDescent="0.25">
      <c r="A41" s="5"/>
      <c r="B41" s="5"/>
      <c r="C41" s="5"/>
      <c r="D41" s="5"/>
      <c r="E41" s="5"/>
      <c r="F41" s="5"/>
      <c r="G41" s="6"/>
    </row>
    <row r="42" spans="1:7" ht="24" hidden="1" customHeight="1" x14ac:dyDescent="0.25">
      <c r="A42" s="5"/>
      <c r="B42" s="5"/>
      <c r="C42" s="5"/>
      <c r="D42" s="5"/>
      <c r="E42" s="5"/>
      <c r="F42" s="5"/>
      <c r="G42" s="6"/>
    </row>
    <row r="43" spans="1:7" ht="24" hidden="1" customHeight="1" x14ac:dyDescent="0.25">
      <c r="A43" s="5"/>
      <c r="B43" s="5"/>
      <c r="C43" s="5"/>
      <c r="D43" s="5"/>
      <c r="E43" s="5"/>
      <c r="F43" s="5"/>
      <c r="G43" s="6"/>
    </row>
    <row r="44" spans="1:7" ht="38.4" customHeight="1" x14ac:dyDescent="0.25">
      <c r="A44" s="5"/>
      <c r="B44" s="5"/>
      <c r="C44" s="5"/>
      <c r="D44" s="5"/>
      <c r="E44" s="5"/>
      <c r="F44" s="5"/>
      <c r="G44" s="5"/>
    </row>
    <row r="45" spans="1:7" ht="38.4" customHeight="1" x14ac:dyDescent="0.25">
      <c r="A45" s="52"/>
      <c r="B45" s="52"/>
      <c r="C45" s="52"/>
      <c r="D45" s="52"/>
      <c r="E45" s="52"/>
      <c r="F45" s="52"/>
      <c r="G45" s="52"/>
    </row>
    <row r="46" spans="1:7" ht="38.4" customHeight="1" x14ac:dyDescent="0.25">
      <c r="A46" s="52"/>
      <c r="B46" s="52"/>
      <c r="C46" s="52"/>
      <c r="D46" s="52"/>
      <c r="E46" s="52"/>
      <c r="F46" s="52"/>
      <c r="G46" s="52"/>
    </row>
    <row r="47" spans="1:7" ht="38.4" customHeight="1" x14ac:dyDescent="0.25">
      <c r="A47" s="52"/>
      <c r="B47" s="52"/>
      <c r="C47" s="52"/>
      <c r="D47" s="52"/>
      <c r="E47" s="52"/>
      <c r="F47" s="52"/>
      <c r="G47" s="52"/>
    </row>
    <row r="48" spans="1:7" ht="38.4" customHeight="1" x14ac:dyDescent="0.25">
      <c r="A48" s="52"/>
      <c r="B48" s="52"/>
      <c r="C48" s="52"/>
      <c r="D48" s="52"/>
      <c r="E48" s="52"/>
      <c r="F48" s="52"/>
      <c r="G48" s="52"/>
    </row>
    <row r="49" spans="1:7" ht="38.4" customHeight="1" x14ac:dyDescent="0.25">
      <c r="A49" s="52"/>
      <c r="B49" s="52"/>
      <c r="C49" s="52"/>
      <c r="D49" s="52"/>
      <c r="E49" s="52"/>
      <c r="F49" s="52"/>
      <c r="G49" s="52"/>
    </row>
    <row r="50" spans="1:7" ht="38.4" customHeight="1" x14ac:dyDescent="0.25">
      <c r="A50" s="52"/>
      <c r="B50" s="52"/>
      <c r="C50" s="52"/>
      <c r="D50" s="52"/>
      <c r="E50" s="52"/>
      <c r="F50" s="52"/>
      <c r="G50" s="52"/>
    </row>
    <row r="51" spans="1:7" ht="38.4" customHeight="1" x14ac:dyDescent="0.25">
      <c r="A51" s="52"/>
      <c r="B51" s="52"/>
      <c r="C51" s="52"/>
      <c r="D51" s="52"/>
      <c r="E51" s="52"/>
      <c r="F51" s="52"/>
      <c r="G51" s="52"/>
    </row>
    <row r="52" spans="1:7" ht="38.4" customHeight="1" x14ac:dyDescent="0.25">
      <c r="A52" s="52"/>
      <c r="B52" s="52"/>
      <c r="C52" s="52"/>
      <c r="D52" s="52"/>
      <c r="E52" s="52"/>
      <c r="F52" s="52"/>
      <c r="G52" s="52"/>
    </row>
    <row r="53" spans="1:7" ht="38.4" customHeight="1" x14ac:dyDescent="0.25">
      <c r="A53" s="52"/>
      <c r="B53" s="52"/>
      <c r="C53" s="52"/>
      <c r="D53" s="52"/>
      <c r="E53" s="52"/>
      <c r="F53" s="52"/>
      <c r="G53" s="52"/>
    </row>
    <row r="54" spans="1:7" ht="38.4" customHeight="1" x14ac:dyDescent="0.25">
      <c r="A54" s="52"/>
      <c r="B54" s="52"/>
      <c r="C54" s="52"/>
      <c r="D54" s="52"/>
      <c r="E54" s="52"/>
      <c r="F54" s="52"/>
      <c r="G54" s="52"/>
    </row>
    <row r="55" spans="1:7" ht="38.4" customHeight="1" x14ac:dyDescent="0.25">
      <c r="A55" s="52"/>
      <c r="B55" s="52"/>
      <c r="C55" s="52"/>
      <c r="D55" s="52"/>
      <c r="E55" s="52"/>
      <c r="F55" s="52"/>
      <c r="G55" s="52"/>
    </row>
    <row r="56" spans="1:7" ht="38.4" customHeight="1" x14ac:dyDescent="0.25">
      <c r="A56" s="52"/>
      <c r="B56" s="52"/>
      <c r="C56" s="52"/>
      <c r="D56" s="52"/>
      <c r="E56" s="52"/>
      <c r="F56" s="52"/>
      <c r="G56" s="52"/>
    </row>
    <row r="57" spans="1:7" ht="38.4" customHeight="1" x14ac:dyDescent="0.25">
      <c r="A57" s="52"/>
      <c r="B57" s="52"/>
      <c r="C57" s="52"/>
      <c r="D57" s="52"/>
      <c r="E57" s="52"/>
      <c r="F57" s="52"/>
      <c r="G57" s="52"/>
    </row>
    <row r="58" spans="1:7" ht="38.4" customHeight="1" x14ac:dyDescent="0.25">
      <c r="A58" s="52"/>
      <c r="B58" s="52"/>
      <c r="C58" s="52"/>
      <c r="D58" s="52"/>
      <c r="E58" s="52"/>
      <c r="F58" s="52"/>
      <c r="G58" s="52"/>
    </row>
    <row r="59" spans="1:7" ht="38.4" customHeight="1" x14ac:dyDescent="0.25">
      <c r="A59" s="52"/>
      <c r="B59" s="52"/>
      <c r="C59" s="52"/>
      <c r="D59" s="52"/>
      <c r="E59" s="52"/>
      <c r="F59" s="52"/>
      <c r="G59" s="52"/>
    </row>
    <row r="60" spans="1:7" ht="38.4" customHeight="1" x14ac:dyDescent="0.25">
      <c r="A60" s="52"/>
      <c r="B60" s="52"/>
      <c r="C60" s="52"/>
      <c r="D60" s="52"/>
      <c r="E60" s="52"/>
      <c r="F60" s="52"/>
      <c r="G60" s="52"/>
    </row>
    <row r="61" spans="1:7" ht="38.4" customHeight="1" x14ac:dyDescent="0.25">
      <c r="A61" s="52"/>
      <c r="B61" s="52"/>
      <c r="C61" s="52"/>
      <c r="D61" s="52"/>
      <c r="E61" s="52"/>
      <c r="F61" s="52"/>
      <c r="G61" s="52"/>
    </row>
    <row r="62" spans="1:7" ht="38.4" customHeight="1" x14ac:dyDescent="0.25">
      <c r="A62" s="52"/>
      <c r="B62" s="52"/>
      <c r="C62" s="52"/>
      <c r="D62" s="52"/>
      <c r="E62" s="52"/>
      <c r="F62" s="52"/>
      <c r="G62" s="52"/>
    </row>
    <row r="63" spans="1:7" ht="38.4" customHeight="1" x14ac:dyDescent="0.25">
      <c r="A63" s="52"/>
      <c r="B63" s="52"/>
      <c r="C63" s="52"/>
      <c r="D63" s="52"/>
      <c r="E63" s="52"/>
      <c r="F63" s="52"/>
      <c r="G63" s="52"/>
    </row>
    <row r="64" spans="1:7" ht="38.4" customHeight="1" x14ac:dyDescent="0.25">
      <c r="A64" s="52"/>
      <c r="B64" s="52"/>
      <c r="C64" s="52"/>
      <c r="D64" s="52"/>
      <c r="E64" s="52"/>
      <c r="F64" s="52"/>
      <c r="G64" s="52"/>
    </row>
    <row r="65" spans="1:7" ht="38.4" customHeight="1" x14ac:dyDescent="0.25">
      <c r="A65" s="52"/>
      <c r="B65" s="52"/>
      <c r="C65" s="52"/>
      <c r="D65" s="52"/>
      <c r="E65" s="52"/>
      <c r="F65" s="52"/>
      <c r="G65" s="52"/>
    </row>
    <row r="66" spans="1:7" ht="38.4" customHeight="1" x14ac:dyDescent="0.25">
      <c r="A66" s="52"/>
      <c r="B66" s="52"/>
      <c r="C66" s="52"/>
      <c r="D66" s="52"/>
      <c r="E66" s="52"/>
      <c r="F66" s="52"/>
      <c r="G66" s="52"/>
    </row>
    <row r="67" spans="1:7" ht="38.4" customHeight="1" x14ac:dyDescent="0.25">
      <c r="A67" s="52"/>
      <c r="B67" s="52"/>
      <c r="C67" s="52"/>
      <c r="D67" s="52"/>
      <c r="E67" s="52"/>
      <c r="F67" s="52"/>
      <c r="G67" s="52"/>
    </row>
    <row r="68" spans="1:7" ht="38.4" customHeight="1" x14ac:dyDescent="0.25">
      <c r="A68" s="52"/>
      <c r="B68" s="52"/>
      <c r="C68" s="52"/>
      <c r="D68" s="52"/>
      <c r="E68" s="52"/>
      <c r="F68" s="52"/>
      <c r="G68" s="52"/>
    </row>
    <row r="69" spans="1:7" ht="38.4" customHeight="1" x14ac:dyDescent="0.25">
      <c r="A69" s="52"/>
      <c r="B69" s="52"/>
      <c r="C69" s="52"/>
      <c r="D69" s="52"/>
      <c r="E69" s="52"/>
      <c r="F69" s="52"/>
      <c r="G69" s="52"/>
    </row>
    <row r="70" spans="1:7" ht="38.4" customHeight="1" x14ac:dyDescent="0.25">
      <c r="A70" s="52"/>
      <c r="B70" s="52"/>
      <c r="C70" s="52"/>
      <c r="D70" s="52"/>
      <c r="E70" s="52"/>
      <c r="F70" s="52"/>
      <c r="G70" s="52"/>
    </row>
    <row r="71" spans="1:7" ht="38.4" customHeight="1" x14ac:dyDescent="0.25">
      <c r="A71" s="52"/>
      <c r="B71" s="52"/>
      <c r="C71" s="52"/>
      <c r="D71" s="52"/>
      <c r="E71" s="52"/>
      <c r="F71" s="52"/>
      <c r="G71" s="52"/>
    </row>
    <row r="72" spans="1:7" ht="38.4" customHeight="1" x14ac:dyDescent="0.25">
      <c r="A72" s="52"/>
      <c r="B72" s="52"/>
      <c r="C72" s="52"/>
      <c r="D72" s="52"/>
      <c r="E72" s="52"/>
      <c r="F72" s="52"/>
      <c r="G72" s="52"/>
    </row>
    <row r="73" spans="1:7" ht="38.4" customHeight="1" x14ac:dyDescent="0.25">
      <c r="A73" s="52"/>
      <c r="B73" s="52"/>
      <c r="C73" s="52"/>
      <c r="D73" s="52"/>
      <c r="E73" s="52"/>
      <c r="F73" s="52"/>
      <c r="G73" s="52"/>
    </row>
    <row r="74" spans="1:7" ht="38.4" customHeight="1" x14ac:dyDescent="0.25">
      <c r="A74" s="52"/>
      <c r="B74" s="52"/>
      <c r="C74" s="52"/>
      <c r="D74" s="52"/>
      <c r="E74" s="52"/>
      <c r="F74" s="52"/>
      <c r="G74" s="52"/>
    </row>
    <row r="75" spans="1:7" ht="38.4" customHeight="1" x14ac:dyDescent="0.25">
      <c r="A75" s="52"/>
      <c r="B75" s="52"/>
      <c r="C75" s="52"/>
      <c r="D75" s="52"/>
      <c r="E75" s="52"/>
      <c r="F75" s="52"/>
      <c r="G75" s="52"/>
    </row>
    <row r="76" spans="1:7" ht="38.4" customHeight="1" x14ac:dyDescent="0.25">
      <c r="A76" s="52"/>
      <c r="B76" s="52"/>
      <c r="C76" s="52"/>
      <c r="D76" s="52"/>
      <c r="E76" s="52"/>
      <c r="F76" s="52"/>
      <c r="G76" s="52"/>
    </row>
    <row r="77" spans="1:7" ht="38.4" customHeight="1" x14ac:dyDescent="0.25">
      <c r="A77" s="52"/>
      <c r="B77" s="52"/>
      <c r="C77" s="52"/>
      <c r="D77" s="52"/>
      <c r="E77" s="52"/>
      <c r="F77" s="52"/>
      <c r="G77" s="52"/>
    </row>
    <row r="78" spans="1:7" ht="38.4" customHeight="1" x14ac:dyDescent="0.25">
      <c r="A78" s="52"/>
      <c r="B78" s="52"/>
      <c r="C78" s="52"/>
      <c r="D78" s="52"/>
      <c r="E78" s="52"/>
      <c r="F78" s="52"/>
      <c r="G78" s="52"/>
    </row>
    <row r="79" spans="1:7" ht="38.4" customHeight="1" x14ac:dyDescent="0.25">
      <c r="A79" s="52"/>
      <c r="B79" s="52"/>
      <c r="C79" s="52"/>
      <c r="D79" s="52"/>
      <c r="E79" s="52"/>
      <c r="F79" s="52"/>
      <c r="G79" s="52"/>
    </row>
    <row r="80" spans="1:7" ht="38.4" customHeight="1" x14ac:dyDescent="0.25">
      <c r="A80" s="52"/>
      <c r="B80" s="52"/>
      <c r="C80" s="52"/>
      <c r="D80" s="52"/>
      <c r="E80" s="52"/>
      <c r="F80" s="52"/>
      <c r="G80" s="52"/>
    </row>
    <row r="81" spans="1:7" ht="38.4" customHeight="1" x14ac:dyDescent="0.25">
      <c r="A81" s="52"/>
      <c r="B81" s="52"/>
      <c r="C81" s="52"/>
      <c r="D81" s="52"/>
      <c r="E81" s="52"/>
      <c r="F81" s="52"/>
      <c r="G81" s="52"/>
    </row>
    <row r="82" spans="1:7" ht="38.4" customHeight="1" x14ac:dyDescent="0.25">
      <c r="A82" s="52"/>
      <c r="B82" s="52"/>
      <c r="C82" s="52"/>
      <c r="D82" s="52"/>
      <c r="E82" s="52"/>
      <c r="F82" s="52"/>
      <c r="G82" s="52"/>
    </row>
    <row r="83" spans="1:7" ht="38.4" customHeight="1" x14ac:dyDescent="0.25">
      <c r="A83" s="52"/>
      <c r="B83" s="52"/>
      <c r="C83" s="52"/>
      <c r="D83" s="52"/>
      <c r="E83" s="52"/>
      <c r="F83" s="52"/>
      <c r="G83" s="52"/>
    </row>
    <row r="84" spans="1:7" ht="38.4" customHeight="1" x14ac:dyDescent="0.25">
      <c r="A84" s="52"/>
      <c r="B84" s="52"/>
      <c r="C84" s="52"/>
      <c r="D84" s="52"/>
      <c r="E84" s="52"/>
      <c r="F84" s="52"/>
      <c r="G84" s="52"/>
    </row>
    <row r="85" spans="1:7" ht="38.4" customHeight="1" x14ac:dyDescent="0.25">
      <c r="A85" s="52"/>
      <c r="B85" s="52"/>
      <c r="C85" s="52"/>
      <c r="D85" s="52"/>
      <c r="E85" s="52"/>
      <c r="F85" s="52"/>
      <c r="G85" s="52"/>
    </row>
    <row r="86" spans="1:7" ht="38.4" customHeight="1" x14ac:dyDescent="0.25">
      <c r="A86" s="52"/>
      <c r="B86" s="52"/>
      <c r="C86" s="52"/>
      <c r="D86" s="52"/>
      <c r="E86" s="52"/>
      <c r="F86" s="52"/>
      <c r="G86" s="52"/>
    </row>
    <row r="87" spans="1:7" ht="38.4" customHeight="1" x14ac:dyDescent="0.25">
      <c r="A87" s="52"/>
      <c r="B87" s="52"/>
      <c r="C87" s="52"/>
      <c r="D87" s="52"/>
      <c r="E87" s="52"/>
      <c r="F87" s="52"/>
      <c r="G87" s="52"/>
    </row>
    <row r="88" spans="1:7" ht="38.4" customHeight="1" x14ac:dyDescent="0.25">
      <c r="A88" s="52"/>
      <c r="B88" s="52"/>
      <c r="C88" s="52"/>
      <c r="D88" s="52"/>
      <c r="E88" s="52"/>
      <c r="F88" s="52"/>
      <c r="G88" s="52"/>
    </row>
    <row r="89" spans="1:7" ht="38.4" customHeight="1" x14ac:dyDescent="0.25">
      <c r="A89" s="52"/>
      <c r="B89" s="52"/>
      <c r="C89" s="52"/>
      <c r="D89" s="52"/>
      <c r="E89" s="52"/>
      <c r="F89" s="52"/>
      <c r="G89" s="52"/>
    </row>
    <row r="90" spans="1:7" ht="38.4" customHeight="1" x14ac:dyDescent="0.25">
      <c r="A90" s="52"/>
      <c r="B90" s="52"/>
      <c r="C90" s="52"/>
      <c r="D90" s="52"/>
      <c r="E90" s="52"/>
      <c r="F90" s="52"/>
      <c r="G90" s="52"/>
    </row>
    <row r="91" spans="1:7" ht="38.4" customHeight="1" x14ac:dyDescent="0.25">
      <c r="A91" s="52"/>
      <c r="B91" s="52"/>
      <c r="C91" s="52"/>
      <c r="D91" s="52"/>
      <c r="E91" s="52"/>
      <c r="F91" s="52"/>
      <c r="G91" s="52"/>
    </row>
    <row r="92" spans="1:7" ht="38.4" customHeight="1" x14ac:dyDescent="0.25">
      <c r="A92" s="52"/>
      <c r="B92" s="52"/>
      <c r="C92" s="52"/>
      <c r="D92" s="52"/>
      <c r="E92" s="52"/>
      <c r="F92" s="52"/>
      <c r="G92" s="52"/>
    </row>
    <row r="93" spans="1:7" ht="38.4" customHeight="1" x14ac:dyDescent="0.25">
      <c r="A93" s="52"/>
      <c r="B93" s="52"/>
      <c r="C93" s="52"/>
      <c r="D93" s="52"/>
      <c r="E93" s="52"/>
      <c r="F93" s="52"/>
      <c r="G93" s="52"/>
    </row>
    <row r="94" spans="1:7" ht="38.4" customHeight="1" x14ac:dyDescent="0.25">
      <c r="A94" s="52"/>
      <c r="B94" s="52"/>
      <c r="C94" s="52"/>
      <c r="D94" s="52"/>
      <c r="E94" s="52"/>
      <c r="F94" s="52"/>
      <c r="G94" s="52"/>
    </row>
    <row r="95" spans="1:7" ht="38.4" customHeight="1" x14ac:dyDescent="0.25">
      <c r="A95" s="52"/>
      <c r="B95" s="52"/>
      <c r="C95" s="52"/>
      <c r="D95" s="52"/>
      <c r="E95" s="52"/>
      <c r="F95" s="52"/>
      <c r="G95" s="52"/>
    </row>
    <row r="96" spans="1:7" ht="38.4" customHeight="1" x14ac:dyDescent="0.25">
      <c r="A96" s="52"/>
      <c r="B96" s="52"/>
      <c r="C96" s="52"/>
      <c r="D96" s="52"/>
      <c r="E96" s="52"/>
      <c r="F96" s="52"/>
      <c r="G96" s="52"/>
    </row>
    <row r="97" spans="1:7" ht="38.4" customHeight="1" x14ac:dyDescent="0.25">
      <c r="A97" s="52"/>
      <c r="B97" s="52"/>
      <c r="C97" s="52"/>
      <c r="D97" s="52"/>
      <c r="E97" s="52"/>
      <c r="F97" s="52"/>
      <c r="G97" s="52"/>
    </row>
    <row r="98" spans="1:7" ht="38.4" customHeight="1" x14ac:dyDescent="0.25">
      <c r="A98" s="52"/>
      <c r="B98" s="52"/>
      <c r="C98" s="52"/>
      <c r="D98" s="52"/>
      <c r="E98" s="52"/>
      <c r="F98" s="52"/>
      <c r="G98" s="52"/>
    </row>
    <row r="99" spans="1:7" ht="38.4" customHeight="1" x14ac:dyDescent="0.25">
      <c r="A99" s="52"/>
      <c r="B99" s="52"/>
      <c r="C99" s="52"/>
      <c r="D99" s="52"/>
      <c r="E99" s="52"/>
      <c r="F99" s="52"/>
      <c r="G99" s="52"/>
    </row>
    <row r="100" spans="1:7" ht="38.4" customHeight="1" x14ac:dyDescent="0.25">
      <c r="A100" s="52"/>
      <c r="B100" s="52"/>
      <c r="C100" s="52"/>
      <c r="D100" s="52"/>
      <c r="E100" s="52"/>
      <c r="F100" s="52"/>
      <c r="G100" s="52"/>
    </row>
  </sheetData>
  <phoneticPr fontId="12" type="noConversion"/>
  <pageMargins left="0.7" right="0.7" top="0.75" bottom="0.75" header="0.3" footer="0.3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6"/>
  <sheetViews>
    <sheetView workbookViewId="0">
      <selection activeCell="I10" sqref="I10"/>
    </sheetView>
  </sheetViews>
  <sheetFormatPr defaultColWidth="9" defaultRowHeight="15.6" x14ac:dyDescent="0.25"/>
  <cols>
    <col min="1" max="1" width="25.21875" style="54" customWidth="1"/>
    <col min="2" max="2" width="15.88671875" style="55" customWidth="1"/>
    <col min="3" max="3" width="9.5546875" style="55" customWidth="1"/>
    <col min="4" max="4" width="9" style="55" customWidth="1"/>
    <col min="5" max="5" width="12.5546875" style="55" customWidth="1"/>
    <col min="6" max="6" width="14" style="55" customWidth="1"/>
    <col min="7" max="7" width="14.21875" style="55" customWidth="1"/>
    <col min="8" max="8" width="14" style="55" customWidth="1"/>
    <col min="9" max="9" width="15.5546875" style="55" customWidth="1"/>
    <col min="10" max="10" width="15" style="55" customWidth="1"/>
    <col min="11" max="11" width="15.88671875" style="55" customWidth="1"/>
    <col min="12" max="16384" width="9" style="54"/>
  </cols>
  <sheetData>
    <row r="1" spans="1:11" x14ac:dyDescent="0.25">
      <c r="C1" s="53" t="s">
        <v>106</v>
      </c>
      <c r="D1" s="57" t="s">
        <v>107</v>
      </c>
      <c r="E1" s="57" t="s">
        <v>108</v>
      </c>
      <c r="F1" s="57" t="s">
        <v>109</v>
      </c>
      <c r="G1" s="57" t="s">
        <v>110</v>
      </c>
      <c r="H1" s="57" t="s">
        <v>111</v>
      </c>
      <c r="I1" s="57" t="s">
        <v>112</v>
      </c>
      <c r="J1" s="57" t="s">
        <v>113</v>
      </c>
      <c r="K1" s="57" t="s">
        <v>114</v>
      </c>
    </row>
    <row r="2" spans="1:11" x14ac:dyDescent="0.25">
      <c r="A2" s="56">
        <v>46056.48641203704</v>
      </c>
      <c r="B2" s="55" t="s">
        <v>115</v>
      </c>
    </row>
    <row r="3" spans="1:11" x14ac:dyDescent="0.25">
      <c r="A3" s="56">
        <v>46056.486504629633</v>
      </c>
      <c r="B3" s="55" t="s">
        <v>61</v>
      </c>
      <c r="C3" s="55">
        <v>20</v>
      </c>
      <c r="D3" s="55">
        <v>3</v>
      </c>
      <c r="E3" s="55">
        <v>150</v>
      </c>
      <c r="F3" s="55">
        <v>95.911504424778755</v>
      </c>
      <c r="G3" s="55">
        <v>14.631808455343823</v>
      </c>
      <c r="H3" s="55">
        <v>757.19608756404341</v>
      </c>
      <c r="I3" s="55">
        <v>2194.7712683015734</v>
      </c>
      <c r="J3" s="55">
        <v>15106.061946902655</v>
      </c>
      <c r="K3" s="55" t="s">
        <v>116</v>
      </c>
    </row>
    <row r="4" spans="1:11" x14ac:dyDescent="0.25">
      <c r="A4" s="56">
        <v>46056.486539351848</v>
      </c>
      <c r="B4" s="55" t="s">
        <v>70</v>
      </c>
      <c r="C4" s="55">
        <v>20</v>
      </c>
      <c r="D4" s="55">
        <v>3</v>
      </c>
      <c r="E4" s="55">
        <v>150</v>
      </c>
      <c r="F4" s="55">
        <v>42.7575221238938</v>
      </c>
      <c r="G4" s="55">
        <v>6.5228866703117925</v>
      </c>
      <c r="H4" s="55">
        <v>337.55938518863513</v>
      </c>
      <c r="I4" s="55">
        <v>978.43300054676888</v>
      </c>
      <c r="J4" s="55">
        <v>6734.3097345132737</v>
      </c>
      <c r="K4" s="55" t="s">
        <v>116</v>
      </c>
    </row>
    <row r="5" spans="1:11" x14ac:dyDescent="0.25">
      <c r="A5" s="56">
        <v>46056.580821759257</v>
      </c>
      <c r="B5" s="55" t="s">
        <v>115</v>
      </c>
    </row>
    <row r="6" spans="1:11" x14ac:dyDescent="0.25">
      <c r="A6" s="56">
        <v>46056.581250000003</v>
      </c>
      <c r="B6" s="55" t="s">
        <v>70</v>
      </c>
      <c r="C6" s="55">
        <v>20</v>
      </c>
      <c r="D6" s="55">
        <v>2</v>
      </c>
      <c r="E6" s="55">
        <v>100</v>
      </c>
      <c r="F6" s="55">
        <v>43.474336283185842</v>
      </c>
      <c r="G6" s="55">
        <v>6.6322404703563453</v>
      </c>
      <c r="H6" s="55">
        <v>228.81229622729461</v>
      </c>
      <c r="I6" s="55">
        <v>663.2240470356345</v>
      </c>
      <c r="J6" s="55">
        <v>4564.8053097345137</v>
      </c>
      <c r="K6" s="55" t="s">
        <v>117</v>
      </c>
    </row>
  </sheetData>
  <phoneticPr fontId="14" type="noConversion"/>
  <pageMargins left="0.7" right="0.7" top="0.75" bottom="0.75" header="0.3" footer="0.3"/>
  <pageSetup paperSize="9"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C0A99D-3EDE-4FB6-B1D6-15D9EA0E67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订单明细</vt:lpstr>
      <vt:lpstr>产品目录</vt:lpstr>
      <vt:lpstr>记录表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Dle On</cp:lastModifiedBy>
  <dcterms:created xsi:type="dcterms:W3CDTF">2023-05-12T11:15:00Z</dcterms:created>
  <dcterms:modified xsi:type="dcterms:W3CDTF">2026-02-03T06:52:24Z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2052-12.1.0.24657</vt:lpwstr>
  </property>
  <property fmtid="{D5CDD505-2E9C-101B-9397-08002B2CF9AE}" pid="3" name="ICV">
    <vt:lpwstr>8BE3091C1CF94CB399B13A9D86EA76C6_12</vt:lpwstr>
  </property>
  <property fmtid="{D5CDD505-2E9C-101B-9397-08002B2CF9AE}" pid="4" name="CalculationRule">
    <vt:i4>0</vt:i4>
  </property>
</Properties>
</file>